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Jarvis\uploads\损益测算\"/>
    </mc:Choice>
  </mc:AlternateContent>
  <xr:revisionPtr revIDLastSave="0" documentId="13_ncr:1_{F214F168-8FA3-4094-9175-780EE1C199DA}" xr6:coauthVersionLast="47" xr6:coauthVersionMax="47" xr10:uidLastSave="{00000000-0000-0000-0000-000000000000}"/>
  <bookViews>
    <workbookView xWindow="-60" yWindow="-60" windowWidth="23160" windowHeight="13800" xr2:uid="{F17C6706-6DFA-464B-9F80-0224FABCD6DE}"/>
  </bookViews>
  <sheets>
    <sheet name="模版" sheetId="1" r:id="rId1"/>
  </sheets>
  <definedNames>
    <definedName name="_xlnm._FilterDatabase" localSheetId="0" hidden="1">模版!$A$2:$P$70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0" i="1" l="1"/>
  <c r="E68" i="1"/>
  <c r="E54" i="1"/>
  <c r="E47" i="1"/>
  <c r="E34" i="1"/>
  <c r="E29" i="1"/>
  <c r="E28" i="1"/>
  <c r="E27" i="1"/>
  <c r="E21" i="1"/>
  <c r="E20" i="1"/>
  <c r="E13" i="1"/>
  <c r="E3" i="1"/>
</calcChain>
</file>

<file path=xl/sharedStrings.xml><?xml version="1.0" encoding="utf-8"?>
<sst xmlns="http://schemas.openxmlformats.org/spreadsheetml/2006/main" count="554" uniqueCount="188">
  <si>
    <t>默认值，可点选调整</t>
    <phoneticPr fontId="3" type="noConversion"/>
  </si>
  <si>
    <t>默认值，不可点选，根据选定的预估方法与参数映射</t>
    <phoneticPr fontId="3" type="noConversion"/>
  </si>
  <si>
    <t>月预估值</t>
    <phoneticPr fontId="3" type="noConversion"/>
  </si>
  <si>
    <t>步骤</t>
    <phoneticPr fontId="3" type="noConversion"/>
  </si>
  <si>
    <t>Code</t>
    <phoneticPr fontId="3" type="noConversion"/>
  </si>
  <si>
    <t>科目名称</t>
    <phoneticPr fontId="3" type="noConversion"/>
  </si>
  <si>
    <t>费用类型</t>
    <phoneticPr fontId="3" type="noConversion"/>
  </si>
  <si>
    <t>预估方法与参数</t>
    <phoneticPr fontId="3" type="noConversion"/>
  </si>
  <si>
    <t>成本动因</t>
    <phoneticPr fontId="3" type="noConversion"/>
  </si>
  <si>
    <t>建议参数（历史值）计算逻辑</t>
    <phoneticPr fontId="3" type="noConversion"/>
  </si>
  <si>
    <t>建议参数（历史值）-参考期间</t>
    <phoneticPr fontId="3" type="noConversion"/>
  </si>
  <si>
    <t>建议参数（历史值）</t>
    <phoneticPr fontId="3" type="noConversion"/>
  </si>
  <si>
    <t>预估参数</t>
    <phoneticPr fontId="3" type="noConversion"/>
  </si>
  <si>
    <t>预估值计算逻辑</t>
    <phoneticPr fontId="3" type="noConversion"/>
  </si>
  <si>
    <t>A1</t>
    <phoneticPr fontId="3" type="noConversion"/>
  </si>
  <si>
    <t>HeadCount</t>
    <phoneticPr fontId="3" type="noConversion"/>
  </si>
  <si>
    <t>计算项</t>
    <phoneticPr fontId="3" type="noConversion"/>
  </si>
  <si>
    <t>A1.1</t>
    <phoneticPr fontId="3" type="noConversion"/>
  </si>
  <si>
    <t>HeadCount-FTE</t>
    <phoneticPr fontId="3" type="noConversion"/>
  </si>
  <si>
    <t>变动费用-人力相关</t>
    <phoneticPr fontId="3" type="noConversion"/>
  </si>
  <si>
    <t>按实际需求输入或读取excel</t>
    <phoneticPr fontId="3" type="noConversion"/>
  </si>
  <si>
    <t>按需</t>
    <phoneticPr fontId="3" type="noConversion"/>
  </si>
  <si>
    <t>近1个月</t>
  </si>
  <si>
    <t>A1.1.1</t>
    <phoneticPr fontId="3" type="noConversion"/>
  </si>
  <si>
    <t>HeadCount-FTE-2Y</t>
    <phoneticPr fontId="3" type="noConversion"/>
  </si>
  <si>
    <t>A1.2</t>
    <phoneticPr fontId="3" type="noConversion"/>
  </si>
  <si>
    <t>HeadCount-Intern</t>
    <phoneticPr fontId="3" type="noConversion"/>
  </si>
  <si>
    <t>A1.3</t>
    <phoneticPr fontId="3" type="noConversion"/>
  </si>
  <si>
    <t>HeadCount-Customerservice</t>
    <phoneticPr fontId="3" type="noConversion"/>
  </si>
  <si>
    <t>A1.4.1</t>
    <phoneticPr fontId="6" type="noConversion"/>
  </si>
  <si>
    <t>Headcount-Outsource-inhouse</t>
    <phoneticPr fontId="3" type="noConversion"/>
  </si>
  <si>
    <t>A1.4.2</t>
    <phoneticPr fontId="6" type="noConversion"/>
  </si>
  <si>
    <t>Headcount-Outsource-online</t>
  </si>
  <si>
    <t>A2</t>
  </si>
  <si>
    <t>Gross Revenue</t>
  </si>
  <si>
    <t>收入</t>
    <phoneticPr fontId="3" type="noConversion"/>
  </si>
  <si>
    <t>A3</t>
  </si>
  <si>
    <t>VAT</t>
  </si>
  <si>
    <t>变动费用-收入相关</t>
    <phoneticPr fontId="3" type="noConversion"/>
  </si>
  <si>
    <t>费用率</t>
    <phoneticPr fontId="3" type="noConversion"/>
  </si>
  <si>
    <t>A2 Gross Revenue</t>
    <phoneticPr fontId="3" type="noConversion"/>
  </si>
  <si>
    <t>=参考期间费用总额/参考期间成本动因总额</t>
    <phoneticPr fontId="3" type="noConversion"/>
  </si>
  <si>
    <t>近12个月</t>
    <phoneticPr fontId="3" type="noConversion"/>
  </si>
  <si>
    <t>A4</t>
  </si>
  <si>
    <t>Platform Cost</t>
  </si>
  <si>
    <t>A5</t>
  </si>
  <si>
    <t>Net Revenue</t>
  </si>
  <si>
    <t>A97</t>
    <phoneticPr fontId="3" type="noConversion"/>
  </si>
  <si>
    <t>Other Revenue</t>
    <phoneticPr fontId="3" type="noConversion"/>
  </si>
  <si>
    <t>A91</t>
    <phoneticPr fontId="3" type="noConversion"/>
  </si>
  <si>
    <t>Insourcing Revenue</t>
    <phoneticPr fontId="3" type="noConversion"/>
  </si>
  <si>
    <t>A6</t>
    <phoneticPr fontId="3" type="noConversion"/>
  </si>
  <si>
    <t>Revenue Share</t>
    <phoneticPr fontId="3" type="noConversion"/>
  </si>
  <si>
    <t>A7</t>
    <phoneticPr fontId="3" type="noConversion"/>
  </si>
  <si>
    <t>Server Cost</t>
    <phoneticPr fontId="3" type="noConversion"/>
  </si>
  <si>
    <t>近3个月</t>
    <phoneticPr fontId="3" type="noConversion"/>
  </si>
  <si>
    <t>A8</t>
  </si>
  <si>
    <t>Sales Tax</t>
  </si>
  <si>
    <t>A54</t>
  </si>
  <si>
    <t>Royalty</t>
    <phoneticPr fontId="3" type="noConversion"/>
  </si>
  <si>
    <t>变动费用</t>
    <phoneticPr fontId="3" type="noConversion"/>
  </si>
  <si>
    <t>A9</t>
  </si>
  <si>
    <t>Gross Profit</t>
  </si>
  <si>
    <t>A10</t>
  </si>
  <si>
    <t>Sales and Marketing</t>
  </si>
  <si>
    <t>A11</t>
  </si>
  <si>
    <t>UA</t>
  </si>
  <si>
    <t>变动费用-市场类</t>
    <phoneticPr fontId="3" type="noConversion"/>
  </si>
  <si>
    <t>A11.1</t>
  </si>
  <si>
    <t>UA-Material</t>
    <phoneticPr fontId="3" type="noConversion"/>
  </si>
  <si>
    <t>A11 UA</t>
    <phoneticPr fontId="3" type="noConversion"/>
  </si>
  <si>
    <t>A11.2</t>
  </si>
  <si>
    <t>UA-Test</t>
    <phoneticPr fontId="3" type="noConversion"/>
  </si>
  <si>
    <t>A12</t>
  </si>
  <si>
    <t>Branding</t>
  </si>
  <si>
    <t>A12.1</t>
    <phoneticPr fontId="3" type="noConversion"/>
  </si>
  <si>
    <t>User Operation</t>
    <phoneticPr fontId="3" type="noConversion"/>
  </si>
  <si>
    <t>A13</t>
  </si>
  <si>
    <t>Publishing Profit</t>
    <phoneticPr fontId="3" type="noConversion"/>
  </si>
  <si>
    <t>General and Administrative</t>
  </si>
  <si>
    <t>2.5.1</t>
    <phoneticPr fontId="3" type="noConversion"/>
  </si>
  <si>
    <t>A14</t>
  </si>
  <si>
    <t>Staff cost</t>
  </si>
  <si>
    <t>A15</t>
    <phoneticPr fontId="3" type="noConversion"/>
  </si>
  <si>
    <t>Salary</t>
    <phoneticPr fontId="3" type="noConversion"/>
  </si>
  <si>
    <t>人均成本</t>
    <phoneticPr fontId="3" type="noConversion"/>
  </si>
  <si>
    <t>A1.1 HeadCount-FTE+
A1.1.1 HeadCount-FTE-2Y+
A1.2 HeadCount-Intern</t>
    <phoneticPr fontId="3" type="noConversion"/>
  </si>
  <si>
    <t>近6个月</t>
    <phoneticPr fontId="3" type="noConversion"/>
  </si>
  <si>
    <t>A16.1</t>
    <phoneticPr fontId="3" type="noConversion"/>
  </si>
  <si>
    <t>Performance Bonus</t>
    <phoneticPr fontId="3" type="noConversion"/>
  </si>
  <si>
    <t>A15 Salary</t>
    <phoneticPr fontId="3" type="noConversion"/>
  </si>
  <si>
    <t>A16.2</t>
    <phoneticPr fontId="3" type="noConversion"/>
  </si>
  <si>
    <t>Project Bonus</t>
    <phoneticPr fontId="3" type="noConversion"/>
  </si>
  <si>
    <t>A17</t>
    <phoneticPr fontId="3" type="noConversion"/>
  </si>
  <si>
    <t>Salary-Others</t>
    <phoneticPr fontId="3" type="noConversion"/>
  </si>
  <si>
    <t>2.5.2</t>
    <phoneticPr fontId="3" type="noConversion"/>
  </si>
  <si>
    <t>A18</t>
    <phoneticPr fontId="3" type="noConversion"/>
  </si>
  <si>
    <t>Outsourced Service fee</t>
  </si>
  <si>
    <t>A19</t>
    <phoneticPr fontId="3" type="noConversion"/>
  </si>
  <si>
    <t>Ad. Video</t>
  </si>
  <si>
    <t>变动费用-研发外包类</t>
    <phoneticPr fontId="3" type="noConversion"/>
  </si>
  <si>
    <t>月费用额</t>
    <phoneticPr fontId="3" type="noConversion"/>
  </si>
  <si>
    <t>时间</t>
    <phoneticPr fontId="3" type="noConversion"/>
  </si>
  <si>
    <t>A20</t>
  </si>
  <si>
    <t>Art</t>
  </si>
  <si>
    <t>A21.1</t>
  </si>
  <si>
    <t>Customer Service</t>
  </si>
  <si>
    <t>A21.2</t>
  </si>
  <si>
    <t>VIP</t>
  </si>
  <si>
    <t>A21.3</t>
  </si>
  <si>
    <t>Content Moderation</t>
  </si>
  <si>
    <t>A21.4</t>
  </si>
  <si>
    <t>Player Experience</t>
  </si>
  <si>
    <t>A21.5</t>
  </si>
  <si>
    <t>GS Game Service</t>
  </si>
  <si>
    <t>A22</t>
  </si>
  <si>
    <t>RTM</t>
  </si>
  <si>
    <t>A23</t>
  </si>
  <si>
    <t>Localization</t>
  </si>
  <si>
    <t>A24</t>
  </si>
  <si>
    <t>QA</t>
  </si>
  <si>
    <t>A25</t>
  </si>
  <si>
    <t>Outsourced Service fee-others</t>
  </si>
  <si>
    <t>2.5.3</t>
    <phoneticPr fontId="3" type="noConversion"/>
  </si>
  <si>
    <t>A26</t>
  </si>
  <si>
    <t>Rental fee</t>
  </si>
  <si>
    <t>变动费用-行政类</t>
    <phoneticPr fontId="3" type="noConversion"/>
  </si>
  <si>
    <t>A1.1 HeadCount-FTE+
A1.1.1 HeadCount-FTE-2Y+
A1.2 HeadCount-Intern+
A1.3 HeadCount-Customerservice+
A1.4.1 Headcount-Outsource-inhouse</t>
    <phoneticPr fontId="3" type="noConversion"/>
  </si>
  <si>
    <t>2.5.4</t>
    <phoneticPr fontId="3" type="noConversion"/>
  </si>
  <si>
    <t>A27</t>
  </si>
  <si>
    <t>General and Administrative-Others</t>
  </si>
  <si>
    <t>A28</t>
  </si>
  <si>
    <t>Decoration</t>
  </si>
  <si>
    <t>A29</t>
  </si>
  <si>
    <t>Employee Benefits</t>
  </si>
  <si>
    <t>A30</t>
  </si>
  <si>
    <t>Depreciation and Amortization</t>
  </si>
  <si>
    <t>固定费用-行政类</t>
    <phoneticPr fontId="3" type="noConversion"/>
  </si>
  <si>
    <t>A31</t>
  </si>
  <si>
    <t>Office Supplies</t>
  </si>
  <si>
    <t>A32</t>
  </si>
  <si>
    <t>Travel</t>
  </si>
  <si>
    <t>A33</t>
  </si>
  <si>
    <t>Professional Fee</t>
  </si>
  <si>
    <t>固定费用-技术服务类</t>
    <phoneticPr fontId="3" type="noConversion"/>
  </si>
  <si>
    <t>A34</t>
  </si>
  <si>
    <t>General and Administrative-Others-Others</t>
  </si>
  <si>
    <t>A34.1</t>
  </si>
  <si>
    <t>Recruit and Headhunter</t>
  </si>
  <si>
    <t>A34.2</t>
  </si>
  <si>
    <t>Meeting</t>
  </si>
  <si>
    <t>A34.8</t>
  </si>
  <si>
    <t>Entertainment</t>
  </si>
  <si>
    <t>A34.9</t>
  </si>
  <si>
    <t>Insurance</t>
  </si>
  <si>
    <t>A34.10</t>
  </si>
  <si>
    <t>Licensed Fee</t>
    <phoneticPr fontId="3" type="noConversion"/>
  </si>
  <si>
    <t>A34.12</t>
  </si>
  <si>
    <t>Tax</t>
  </si>
  <si>
    <t>A34.13</t>
  </si>
  <si>
    <t>Training</t>
  </si>
  <si>
    <t>A34.14</t>
  </si>
  <si>
    <t>Communication</t>
  </si>
  <si>
    <t>A34.15</t>
  </si>
  <si>
    <t>General and Administrative-Others-Others-Others</t>
  </si>
  <si>
    <t>A53</t>
  </si>
  <si>
    <t>Insourcing Expenses</t>
    <phoneticPr fontId="3" type="noConversion"/>
  </si>
  <si>
    <t>变动费用-研发内包类</t>
    <phoneticPr fontId="3" type="noConversion"/>
  </si>
  <si>
    <t>A35</t>
  </si>
  <si>
    <t>Finance Expenses &amp; Others</t>
  </si>
  <si>
    <t>变动费用-其他</t>
    <phoneticPr fontId="3" type="noConversion"/>
  </si>
  <si>
    <t>A36</t>
  </si>
  <si>
    <t>Income Tax</t>
  </si>
  <si>
    <t>A37 Net Income</t>
    <phoneticPr fontId="3" type="noConversion"/>
  </si>
  <si>
    <t>A45</t>
    <phoneticPr fontId="3" type="noConversion"/>
  </si>
  <si>
    <t>Non-operating expenses/income</t>
    <phoneticPr fontId="3" type="noConversion"/>
  </si>
  <si>
    <t>A37</t>
    <phoneticPr fontId="3" type="noConversion"/>
  </si>
  <si>
    <t>Net Income</t>
    <phoneticPr fontId="3" type="noConversion"/>
  </si>
  <si>
    <t>A92</t>
    <phoneticPr fontId="3" type="noConversion"/>
  </si>
  <si>
    <t>Management fee</t>
  </si>
  <si>
    <t>费用率</t>
  </si>
  <si>
    <t>A94</t>
    <phoneticPr fontId="3" type="noConversion"/>
  </si>
  <si>
    <t>Net Income incl. Mgt fee</t>
    <phoneticPr fontId="3" type="noConversion"/>
  </si>
  <si>
    <t>A99</t>
    <phoneticPr fontId="3" type="noConversion"/>
  </si>
  <si>
    <t>=参考期间均值</t>
  </si>
  <si>
    <t>按实际需求输入或读取excel</t>
  </si>
  <si>
    <t>=预估参数*成本动因</t>
  </si>
  <si>
    <t>=预估参数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</si>
</sst>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1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9"/>
      <name val="Calibri"/>
      <family val="2"/>
      <charset val="134"/>
    </font>
    <font>
      <sz val="10"/>
      <color rgb="FFFF0000"/>
      <name val="微软雅黑"/>
      <family val="2"/>
      <charset val="134"/>
    </font>
    <font>
      <sz val="10"/>
      <color rgb="FF0F172A"/>
      <name val="微软雅黑"/>
      <family val="2"/>
      <charset val="134"/>
    </font>
    <font>
      <sz val="10"/>
      <color rgb="FF334155"/>
      <name val="微软雅黑"/>
      <family val="2"/>
      <charset val="134"/>
    </font>
    <font>
      <b/>
      <sz val="10"/>
      <color theme="0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4" fillId="2" borderId="0" xfId="0" applyFont="1" applyFill="1" applyAlignment="1">
      <alignment horizontal="center" vertical="center"/>
    </xf>
    <xf numFmtId="14" fontId="4" fillId="2" borderId="0" xfId="0" applyNumberFormat="1" applyFont="1" applyFill="1">
      <alignment vertical="center"/>
    </xf>
    <xf numFmtId="0" fontId="5" fillId="3" borderId="0" xfId="0" applyFont="1" applyFill="1">
      <alignment vertical="center"/>
    </xf>
    <xf numFmtId="0" fontId="5" fillId="3" borderId="0" xfId="0" applyFont="1" applyFill="1" applyAlignment="1">
      <alignment horizontal="center" vertical="center"/>
    </xf>
    <xf numFmtId="176" fontId="5" fillId="3" borderId="0" xfId="1" applyNumberFormat="1" applyFont="1" applyFill="1" applyProtection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/>
    </xf>
    <xf numFmtId="0" fontId="2" fillId="0" borderId="0" xfId="0" quotePrefix="1" applyFont="1">
      <alignment vertical="center"/>
    </xf>
    <xf numFmtId="176" fontId="5" fillId="0" borderId="0" xfId="1" applyNumberFormat="1" applyFont="1" applyFill="1" applyProtection="1">
      <alignment vertical="center"/>
      <protection locked="0"/>
    </xf>
    <xf numFmtId="0" fontId="2" fillId="4" borderId="0" xfId="0" applyFont="1" applyFill="1" applyAlignment="1">
      <alignment horizontal="center" vertical="center"/>
    </xf>
    <xf numFmtId="0" fontId="7" fillId="0" borderId="0" xfId="0" applyFont="1">
      <alignment vertical="center"/>
    </xf>
    <xf numFmtId="0" fontId="8" fillId="5" borderId="0" xfId="0" applyFont="1" applyFill="1" applyAlignment="1">
      <alignment horizontal="left" wrapText="1"/>
    </xf>
    <xf numFmtId="0" fontId="8" fillId="5" borderId="0" xfId="0" applyFont="1" applyFill="1" applyAlignment="1">
      <alignment horizontal="left" vertical="center" wrapText="1"/>
    </xf>
    <xf numFmtId="0" fontId="9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0" fontId="10" fillId="0" borderId="0" xfId="0" applyFont="1">
      <alignment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2A973-AF61-49F2-9E34-CCB2701C483B}">
  <dimension ref="A1:AD81"/>
  <sheetViews>
    <sheetView tabSelected="1" zoomScale="85" zoomScaleNormal="85" workbookViewId="0">
      <selection activeCell="E41" sqref="E41"/>
    </sheetView>
  </sheetViews>
  <sheetFormatPr defaultRowHeight="13.9" x14ac:dyDescent="0.4"/>
  <cols>
    <col min="1" max="2" width="15.86328125" style="1" customWidth="1"/>
    <col min="3" max="3" width="30.86328125" style="1" customWidth="1"/>
    <col min="4" max="4" width="24.46484375" style="1" customWidth="1"/>
    <col min="5" max="5" width="49.59765625" style="1" customWidth="1"/>
    <col min="6" max="6" width="34.265625" style="1" customWidth="1"/>
    <col min="7" max="7" width="44" style="1" customWidth="1"/>
    <col min="8" max="8" width="18.796875" style="1" customWidth="1"/>
    <col min="9" max="10" width="15.86328125" style="1" customWidth="1"/>
    <col min="11" max="11" width="22.73046875" style="1" customWidth="1"/>
    <col min="12" max="12" width="26.19921875" style="1" customWidth="1"/>
    <col min="13" max="13" width="26.59765625" style="1" customWidth="1"/>
    <col min="14" max="14" width="10" style="1" bestFit="1" customWidth="1"/>
    <col min="15" max="16" width="9.796875" style="1" bestFit="1" customWidth="1"/>
    <col min="17" max="18" width="9.73046875" style="1" bestFit="1" customWidth="1"/>
    <col min="19" max="21" width="10.9296875" style="1" bestFit="1" customWidth="1"/>
    <col min="22" max="30" width="9.73046875" style="1" bestFit="1" customWidth="1"/>
    <col min="31" max="16384" width="9.06640625" style="1"/>
  </cols>
  <sheetData>
    <row r="1" spans="1:30" x14ac:dyDescent="0.4">
      <c r="E1" s="1" t="s">
        <v>0</v>
      </c>
      <c r="F1" s="1" t="s">
        <v>0</v>
      </c>
      <c r="G1" s="1" t="s">
        <v>1</v>
      </c>
      <c r="H1" s="1" t="s">
        <v>0</v>
      </c>
      <c r="K1" s="1" t="s">
        <v>1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2</v>
      </c>
      <c r="Z1" s="2" t="s">
        <v>2</v>
      </c>
      <c r="AA1" s="2" t="s">
        <v>2</v>
      </c>
      <c r="AB1" s="2" t="s">
        <v>2</v>
      </c>
      <c r="AC1" s="2" t="s">
        <v>2</v>
      </c>
      <c r="AD1" s="2" t="s">
        <v>2</v>
      </c>
    </row>
    <row r="2" spans="1:30" s="4" customFormat="1" ht="14.65" x14ac:dyDescent="0.4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4" t="s">
        <v>9</v>
      </c>
      <c r="H2" s="3" t="s">
        <v>10</v>
      </c>
      <c r="I2" s="3" t="s">
        <v>11</v>
      </c>
      <c r="J2" s="5" t="s">
        <v>12</v>
      </c>
      <c r="K2" s="4" t="s">
        <v>13</v>
      </c>
      <c r="L2" s="6">
        <v>44986</v>
      </c>
      <c r="M2" s="6">
        <v>45017</v>
      </c>
      <c r="N2" s="6">
        <v>45047</v>
      </c>
      <c r="O2" s="6">
        <v>45078</v>
      </c>
      <c r="P2" s="6">
        <v>45108</v>
      </c>
      <c r="Q2" s="6">
        <v>45139</v>
      </c>
      <c r="R2" s="6">
        <v>45170</v>
      </c>
      <c r="S2" s="6">
        <v>45200</v>
      </c>
      <c r="T2" s="6">
        <v>45231</v>
      </c>
      <c r="U2" s="6">
        <v>45261</v>
      </c>
      <c r="V2" s="6">
        <v>45292</v>
      </c>
      <c r="W2" s="6">
        <v>45323</v>
      </c>
      <c r="X2" s="6">
        <v>45352</v>
      </c>
      <c r="Y2" s="6">
        <v>45383</v>
      </c>
      <c r="Z2" s="6">
        <v>45413</v>
      </c>
      <c r="AA2" s="6">
        <v>45444</v>
      </c>
      <c r="AB2" s="6">
        <v>45474</v>
      </c>
      <c r="AC2" s="6">
        <v>45505</v>
      </c>
      <c r="AD2" s="6">
        <v>45536</v>
      </c>
    </row>
    <row r="3" spans="1:30" x14ac:dyDescent="0.4">
      <c r="A3" s="2">
        <v>2.1</v>
      </c>
      <c r="B3" s="7" t="s">
        <v>14</v>
      </c>
      <c r="C3" s="7" t="s">
        <v>15</v>
      </c>
      <c r="D3" s="8" t="s">
        <v>16</v>
      </c>
      <c r="E3" s="7" t="str">
        <f>"="&amp;B4&amp;"+"&amp;B5&amp;"+"&amp;B6&amp;"+"&amp;B7&amp;"+"&amp;B8&amp;"+"&amp;B9</f>
        <v>=A1.1+A1.1.1+A1.2+A1.3+A1.4.1+A1.4.2</v>
      </c>
      <c r="F3" s="7"/>
      <c r="G3" s="7"/>
      <c r="H3" s="7"/>
      <c r="I3" s="7"/>
      <c r="J3" s="7"/>
      <c r="K3" s="9"/>
      <c r="L3" s="9"/>
      <c r="M3" s="9"/>
      <c r="N3" s="9"/>
      <c r="O3" s="9"/>
      <c r="P3" s="9"/>
    </row>
    <row r="4" spans="1:30" x14ac:dyDescent="0.4">
      <c r="A4" s="2">
        <v>2.1</v>
      </c>
      <c r="B4" s="10" t="s">
        <v>17</v>
      </c>
      <c r="C4" s="11" t="s">
        <v>18</v>
      </c>
      <c r="D4" s="12" t="s">
        <v>19</v>
      </c>
      <c r="E4" s="12" t="s">
        <v>20</v>
      </c>
      <c r="F4" s="11" t="s">
        <v>21</v>
      </c>
      <c r="G4" s="13" t="s">
        <v>184</v>
      </c>
      <c r="H4" s="12" t="s">
        <v>22</v>
      </c>
      <c r="I4" s="11"/>
      <c r="J4" s="11"/>
      <c r="K4" s="13" t="s">
        <v>185</v>
      </c>
      <c r="L4" s="14"/>
      <c r="M4" s="14"/>
      <c r="N4" s="14"/>
      <c r="O4" s="14"/>
      <c r="P4" s="14"/>
    </row>
    <row r="5" spans="1:30" x14ac:dyDescent="0.4">
      <c r="A5" s="2">
        <v>2.1</v>
      </c>
      <c r="B5" s="10" t="s">
        <v>23</v>
      </c>
      <c r="C5" s="11" t="s">
        <v>24</v>
      </c>
      <c r="D5" s="12" t="s">
        <v>19</v>
      </c>
      <c r="E5" s="12" t="s">
        <v>20</v>
      </c>
      <c r="F5" s="11" t="s">
        <v>21</v>
      </c>
      <c r="G5" s="13" t="s">
        <v>184</v>
      </c>
      <c r="H5" s="12" t="s">
        <v>22</v>
      </c>
      <c r="I5" s="11"/>
      <c r="J5" s="11"/>
      <c r="K5" s="13" t="s">
        <v>185</v>
      </c>
      <c r="L5" s="14"/>
      <c r="M5" s="14"/>
      <c r="N5" s="14"/>
      <c r="O5" s="14"/>
      <c r="P5" s="14"/>
    </row>
    <row r="6" spans="1:30" x14ac:dyDescent="0.4">
      <c r="A6" s="2">
        <v>2.1</v>
      </c>
      <c r="B6" s="10" t="s">
        <v>25</v>
      </c>
      <c r="C6" s="11" t="s">
        <v>26</v>
      </c>
      <c r="D6" s="12" t="s">
        <v>19</v>
      </c>
      <c r="E6" s="12" t="s">
        <v>20</v>
      </c>
      <c r="F6" s="11" t="s">
        <v>21</v>
      </c>
      <c r="G6" s="13" t="s">
        <v>184</v>
      </c>
      <c r="H6" s="12" t="s">
        <v>22</v>
      </c>
      <c r="I6" s="11"/>
      <c r="J6" s="11"/>
      <c r="K6" s="13" t="s">
        <v>185</v>
      </c>
      <c r="L6" s="14"/>
      <c r="M6" s="14"/>
      <c r="N6" s="14"/>
      <c r="O6" s="14"/>
      <c r="P6" s="14"/>
    </row>
    <row r="7" spans="1:30" x14ac:dyDescent="0.4">
      <c r="A7" s="2">
        <v>2.1</v>
      </c>
      <c r="B7" s="10" t="s">
        <v>27</v>
      </c>
      <c r="C7" s="11" t="s">
        <v>28</v>
      </c>
      <c r="D7" s="12" t="s">
        <v>19</v>
      </c>
      <c r="E7" s="12" t="s">
        <v>20</v>
      </c>
      <c r="F7" s="11" t="s">
        <v>21</v>
      </c>
      <c r="G7" s="13" t="s">
        <v>184</v>
      </c>
      <c r="H7" s="12" t="s">
        <v>22</v>
      </c>
      <c r="I7" s="11"/>
      <c r="J7" s="11"/>
      <c r="K7" s="13" t="s">
        <v>185</v>
      </c>
      <c r="L7" s="14"/>
      <c r="M7" s="14"/>
      <c r="N7" s="14"/>
      <c r="O7" s="14"/>
      <c r="P7" s="14"/>
    </row>
    <row r="8" spans="1:30" x14ac:dyDescent="0.4">
      <c r="A8" s="2">
        <v>2.1</v>
      </c>
      <c r="B8" s="1" t="s">
        <v>29</v>
      </c>
      <c r="C8" s="11" t="s">
        <v>30</v>
      </c>
      <c r="D8" s="12" t="s">
        <v>19</v>
      </c>
      <c r="E8" s="12" t="s">
        <v>20</v>
      </c>
      <c r="F8" s="11" t="s">
        <v>21</v>
      </c>
      <c r="G8" s="13" t="s">
        <v>184</v>
      </c>
      <c r="H8" s="12" t="s">
        <v>22</v>
      </c>
      <c r="I8" s="11"/>
      <c r="J8" s="11"/>
      <c r="K8" s="13" t="s">
        <v>185</v>
      </c>
      <c r="L8" s="14"/>
      <c r="M8" s="14"/>
      <c r="N8" s="14"/>
      <c r="O8" s="14"/>
      <c r="P8" s="14"/>
    </row>
    <row r="9" spans="1:30" x14ac:dyDescent="0.4">
      <c r="A9" s="2">
        <v>2.1</v>
      </c>
      <c r="B9" s="1" t="s">
        <v>31</v>
      </c>
      <c r="C9" s="11" t="s">
        <v>32</v>
      </c>
      <c r="D9" s="12" t="s">
        <v>19</v>
      </c>
      <c r="E9" s="12" t="s">
        <v>20</v>
      </c>
      <c r="F9" s="11" t="s">
        <v>21</v>
      </c>
      <c r="G9" s="13" t="s">
        <v>184</v>
      </c>
      <c r="H9" s="12" t="s">
        <v>22</v>
      </c>
      <c r="I9" s="11"/>
      <c r="J9" s="11"/>
      <c r="K9" s="13" t="s">
        <v>185</v>
      </c>
      <c r="L9" s="14"/>
      <c r="M9" s="14"/>
      <c r="N9" s="14"/>
      <c r="O9" s="14"/>
      <c r="P9" s="14"/>
    </row>
    <row r="10" spans="1:30" x14ac:dyDescent="0.4">
      <c r="A10" s="15">
        <v>2.2000000000000002</v>
      </c>
      <c r="B10" s="10" t="s">
        <v>33</v>
      </c>
      <c r="C10" s="10" t="s">
        <v>34</v>
      </c>
      <c r="D10" s="10" t="s">
        <v>35</v>
      </c>
      <c r="E10" s="12" t="s">
        <v>20</v>
      </c>
      <c r="F10" s="11" t="s">
        <v>21</v>
      </c>
      <c r="G10" s="13" t="s">
        <v>184</v>
      </c>
      <c r="H10" s="12" t="s">
        <v>22</v>
      </c>
      <c r="I10" s="10"/>
      <c r="J10" s="10"/>
      <c r="K10" s="13" t="s">
        <v>185</v>
      </c>
      <c r="L10" s="14"/>
      <c r="M10" s="14"/>
      <c r="N10" s="14"/>
      <c r="O10" s="14"/>
      <c r="P10" s="14"/>
    </row>
    <row r="11" spans="1:30" x14ac:dyDescent="0.4">
      <c r="A11" s="15">
        <v>2.2000000000000002</v>
      </c>
      <c r="B11" s="10" t="s">
        <v>36</v>
      </c>
      <c r="C11" s="10" t="s">
        <v>37</v>
      </c>
      <c r="D11" s="16" t="s">
        <v>38</v>
      </c>
      <c r="E11" s="10" t="s">
        <v>39</v>
      </c>
      <c r="F11" s="10" t="s">
        <v>40</v>
      </c>
      <c r="G11" s="13" t="s">
        <v>41</v>
      </c>
      <c r="H11" s="12" t="s">
        <v>42</v>
      </c>
      <c r="I11" s="10"/>
      <c r="J11" s="10"/>
      <c r="K11" s="13" t="s">
        <v>186</v>
      </c>
      <c r="L11" s="14"/>
      <c r="M11" s="14"/>
      <c r="N11" s="14"/>
      <c r="O11" s="14"/>
      <c r="P11" s="14"/>
    </row>
    <row r="12" spans="1:30" x14ac:dyDescent="0.4">
      <c r="A12" s="15">
        <v>2.2000000000000002</v>
      </c>
      <c r="B12" s="10" t="s">
        <v>43</v>
      </c>
      <c r="C12" s="10" t="s">
        <v>44</v>
      </c>
      <c r="D12" s="16" t="s">
        <v>38</v>
      </c>
      <c r="E12" s="10" t="s">
        <v>39</v>
      </c>
      <c r="F12" s="10" t="s">
        <v>40</v>
      </c>
      <c r="G12" s="13" t="s">
        <v>41</v>
      </c>
      <c r="H12" s="12" t="s">
        <v>42</v>
      </c>
      <c r="I12" s="10"/>
      <c r="J12" s="10"/>
      <c r="K12" s="13" t="s">
        <v>186</v>
      </c>
      <c r="L12" s="14"/>
      <c r="M12" s="14"/>
      <c r="N12" s="14"/>
      <c r="O12" s="14"/>
      <c r="P12" s="14"/>
    </row>
    <row r="13" spans="1:30" x14ac:dyDescent="0.4">
      <c r="A13" s="15">
        <v>2.2000000000000002</v>
      </c>
      <c r="B13" s="7" t="s">
        <v>45</v>
      </c>
      <c r="C13" s="7" t="s">
        <v>46</v>
      </c>
      <c r="D13" s="8" t="s">
        <v>16</v>
      </c>
      <c r="E13" s="7" t="str">
        <f>"="&amp;B10&amp;"-"&amp;B11&amp;"-"&amp;B12</f>
        <v>=A2-A3-A4</v>
      </c>
      <c r="F13" s="7"/>
      <c r="G13" s="7"/>
      <c r="H13" s="7"/>
      <c r="I13" s="7"/>
      <c r="J13" s="7"/>
      <c r="K13" s="9"/>
      <c r="L13" s="9"/>
      <c r="M13" s="9"/>
      <c r="N13" s="9"/>
      <c r="O13" s="9"/>
      <c r="P13" s="9"/>
    </row>
    <row r="14" spans="1:30" x14ac:dyDescent="0.45">
      <c r="A14" s="2">
        <v>2.2999999999999998</v>
      </c>
      <c r="B14" s="10" t="s">
        <v>47</v>
      </c>
      <c r="C14" s="10" t="s">
        <v>48</v>
      </c>
      <c r="D14" s="10" t="s">
        <v>35</v>
      </c>
      <c r="E14" s="12" t="s">
        <v>20</v>
      </c>
      <c r="F14" s="11" t="s">
        <v>21</v>
      </c>
      <c r="G14" s="13" t="s">
        <v>184</v>
      </c>
      <c r="H14" s="12" t="s">
        <v>22</v>
      </c>
      <c r="I14" s="10"/>
      <c r="J14" s="10"/>
      <c r="K14" s="13" t="s">
        <v>185</v>
      </c>
      <c r="L14" s="17"/>
      <c r="M14" s="17"/>
      <c r="N14" s="14"/>
      <c r="O14" s="14"/>
      <c r="P14" s="14"/>
    </row>
    <row r="15" spans="1:30" x14ac:dyDescent="0.4">
      <c r="A15" s="2">
        <v>2.2999999999999998</v>
      </c>
      <c r="B15" s="10" t="s">
        <v>49</v>
      </c>
      <c r="C15" s="10" t="s">
        <v>50</v>
      </c>
      <c r="D15" s="10" t="s">
        <v>35</v>
      </c>
      <c r="E15" s="12" t="s">
        <v>20</v>
      </c>
      <c r="F15" s="11" t="s">
        <v>21</v>
      </c>
      <c r="G15" s="13" t="s">
        <v>184</v>
      </c>
      <c r="H15" s="12" t="s">
        <v>22</v>
      </c>
      <c r="I15" s="10"/>
      <c r="J15" s="10"/>
      <c r="K15" s="13" t="s">
        <v>185</v>
      </c>
      <c r="L15" s="18"/>
      <c r="M15" s="19"/>
      <c r="N15" s="14"/>
      <c r="O15" s="14"/>
      <c r="P15" s="14"/>
    </row>
    <row r="16" spans="1:30" x14ac:dyDescent="0.4">
      <c r="A16" s="2">
        <v>2.2999999999999998</v>
      </c>
      <c r="B16" s="10" t="s">
        <v>51</v>
      </c>
      <c r="C16" s="10" t="s">
        <v>52</v>
      </c>
      <c r="D16" s="16" t="s">
        <v>38</v>
      </c>
      <c r="E16" s="10" t="s">
        <v>39</v>
      </c>
      <c r="F16" s="10" t="s">
        <v>40</v>
      </c>
      <c r="G16" s="13" t="s">
        <v>41</v>
      </c>
      <c r="H16" s="12" t="s">
        <v>42</v>
      </c>
      <c r="I16" s="10"/>
      <c r="J16" s="10"/>
      <c r="K16" s="13" t="s">
        <v>186</v>
      </c>
      <c r="L16" s="18"/>
      <c r="M16" s="19"/>
      <c r="N16" s="14"/>
      <c r="O16" s="14"/>
      <c r="P16" s="14"/>
    </row>
    <row r="17" spans="1:16" x14ac:dyDescent="0.4">
      <c r="A17" s="2">
        <v>2.2999999999999998</v>
      </c>
      <c r="B17" s="10" t="s">
        <v>53</v>
      </c>
      <c r="C17" s="10" t="s">
        <v>54</v>
      </c>
      <c r="D17" s="16" t="s">
        <v>38</v>
      </c>
      <c r="E17" s="10" t="s">
        <v>39</v>
      </c>
      <c r="F17" s="10" t="s">
        <v>40</v>
      </c>
      <c r="G17" s="13" t="s">
        <v>41</v>
      </c>
      <c r="H17" s="12" t="s">
        <v>55</v>
      </c>
      <c r="I17" s="10"/>
      <c r="J17" s="10"/>
      <c r="K17" s="13" t="s">
        <v>186</v>
      </c>
      <c r="L17" s="18"/>
      <c r="M17" s="19"/>
      <c r="N17" s="14"/>
      <c r="O17" s="14"/>
      <c r="P17" s="14"/>
    </row>
    <row r="18" spans="1:16" x14ac:dyDescent="0.4">
      <c r="A18" s="2">
        <v>2.2999999999999998</v>
      </c>
      <c r="B18" s="10" t="s">
        <v>56</v>
      </c>
      <c r="C18" s="12" t="s">
        <v>57</v>
      </c>
      <c r="D18" s="16" t="s">
        <v>38</v>
      </c>
      <c r="E18" s="10" t="s">
        <v>39</v>
      </c>
      <c r="F18" s="10" t="s">
        <v>40</v>
      </c>
      <c r="G18" s="13" t="s">
        <v>41</v>
      </c>
      <c r="H18" s="12" t="s">
        <v>42</v>
      </c>
      <c r="I18" s="12"/>
      <c r="J18" s="12"/>
      <c r="K18" s="13" t="s">
        <v>186</v>
      </c>
      <c r="L18" s="18"/>
      <c r="M18" s="19"/>
      <c r="N18" s="14"/>
      <c r="O18" s="14"/>
      <c r="P18" s="14"/>
    </row>
    <row r="19" spans="1:16" x14ac:dyDescent="0.4">
      <c r="A19" s="2">
        <v>2.2999999999999998</v>
      </c>
      <c r="B19" s="1" t="s">
        <v>58</v>
      </c>
      <c r="C19" s="1" t="s">
        <v>59</v>
      </c>
      <c r="D19" s="10" t="s">
        <v>60</v>
      </c>
      <c r="E19" s="10" t="s">
        <v>39</v>
      </c>
      <c r="F19" s="10" t="s">
        <v>40</v>
      </c>
      <c r="G19" s="13" t="s">
        <v>41</v>
      </c>
      <c r="H19" s="12" t="s">
        <v>42</v>
      </c>
      <c r="K19" s="13" t="s">
        <v>186</v>
      </c>
      <c r="L19" s="14"/>
      <c r="M19" s="14"/>
      <c r="N19" s="14"/>
      <c r="O19" s="14"/>
      <c r="P19" s="14"/>
    </row>
    <row r="20" spans="1:16" x14ac:dyDescent="0.4">
      <c r="A20" s="2">
        <v>2.2999999999999998</v>
      </c>
      <c r="B20" s="7" t="s">
        <v>61</v>
      </c>
      <c r="C20" s="7" t="s">
        <v>62</v>
      </c>
      <c r="D20" s="8" t="s">
        <v>16</v>
      </c>
      <c r="E20" s="7" t="str">
        <f>"="&amp;B13&amp;"+"&amp;B14&amp;"+"&amp;B15&amp;"-"&amp;B16&amp;"-"&amp;B17&amp;"-"&amp;B18&amp;"-"&amp;B19</f>
        <v>=A5+A97+A91-A6-A7-A8-A54</v>
      </c>
      <c r="F20" s="7"/>
      <c r="G20" s="7"/>
      <c r="H20" s="7"/>
      <c r="I20" s="7"/>
      <c r="J20" s="7"/>
      <c r="K20" s="9"/>
      <c r="L20" s="9"/>
      <c r="M20" s="9"/>
      <c r="N20" s="9"/>
      <c r="O20" s="9"/>
      <c r="P20" s="9"/>
    </row>
    <row r="21" spans="1:16" x14ac:dyDescent="0.4">
      <c r="A21" s="15">
        <v>2.4</v>
      </c>
      <c r="B21" s="7" t="s">
        <v>63</v>
      </c>
      <c r="C21" s="7" t="s">
        <v>64</v>
      </c>
      <c r="D21" s="8" t="s">
        <v>16</v>
      </c>
      <c r="E21" s="7" t="str">
        <f>"="&amp;B22&amp;"+"&amp;B23&amp;"+"&amp;B24&amp;"+"&amp;B25&amp;"+"&amp;B26</f>
        <v>=A11+A11.1+A11.2+A12+A12.1</v>
      </c>
      <c r="F21" s="7"/>
      <c r="G21" s="7"/>
      <c r="H21" s="7"/>
      <c r="I21" s="7"/>
      <c r="J21" s="7"/>
      <c r="K21" s="9"/>
      <c r="L21" s="9"/>
      <c r="M21" s="9"/>
      <c r="N21" s="9"/>
      <c r="O21" s="9"/>
      <c r="P21" s="9"/>
    </row>
    <row r="22" spans="1:16" x14ac:dyDescent="0.4">
      <c r="A22" s="15">
        <v>2.4</v>
      </c>
      <c r="B22" s="10" t="s">
        <v>65</v>
      </c>
      <c r="C22" s="11" t="s">
        <v>66</v>
      </c>
      <c r="D22" s="10" t="s">
        <v>67</v>
      </c>
      <c r="E22" s="10" t="s">
        <v>39</v>
      </c>
      <c r="F22" s="10" t="s">
        <v>40</v>
      </c>
      <c r="G22" s="13" t="s">
        <v>41</v>
      </c>
      <c r="H22" s="12" t="s">
        <v>55</v>
      </c>
      <c r="I22" s="11"/>
      <c r="J22" s="11"/>
      <c r="K22" s="13" t="s">
        <v>186</v>
      </c>
      <c r="L22" s="14"/>
      <c r="M22" s="14"/>
      <c r="N22" s="14"/>
      <c r="O22" s="14"/>
      <c r="P22" s="14"/>
    </row>
    <row r="23" spans="1:16" x14ac:dyDescent="0.4">
      <c r="A23" s="15">
        <v>2.4</v>
      </c>
      <c r="B23" s="10" t="s">
        <v>68</v>
      </c>
      <c r="C23" s="11" t="s">
        <v>69</v>
      </c>
      <c r="D23" s="10" t="s">
        <v>67</v>
      </c>
      <c r="E23" s="10" t="s">
        <v>39</v>
      </c>
      <c r="F23" s="11" t="s">
        <v>70</v>
      </c>
      <c r="G23" s="13" t="s">
        <v>41</v>
      </c>
      <c r="H23" s="12" t="s">
        <v>55</v>
      </c>
      <c r="I23" s="11"/>
      <c r="J23" s="11"/>
      <c r="K23" s="13" t="s">
        <v>186</v>
      </c>
      <c r="L23" s="14"/>
      <c r="M23" s="14"/>
      <c r="N23" s="14"/>
      <c r="O23" s="14"/>
      <c r="P23" s="14"/>
    </row>
    <row r="24" spans="1:16" x14ac:dyDescent="0.4">
      <c r="A24" s="15">
        <v>2.4</v>
      </c>
      <c r="B24" s="10" t="s">
        <v>71</v>
      </c>
      <c r="C24" s="11" t="s">
        <v>72</v>
      </c>
      <c r="D24" s="10" t="s">
        <v>67</v>
      </c>
      <c r="E24" s="10" t="s">
        <v>39</v>
      </c>
      <c r="F24" s="11" t="s">
        <v>70</v>
      </c>
      <c r="G24" s="13" t="s">
        <v>41</v>
      </c>
      <c r="H24" s="12" t="s">
        <v>55</v>
      </c>
      <c r="I24" s="11"/>
      <c r="J24" s="11"/>
      <c r="K24" s="13" t="s">
        <v>186</v>
      </c>
      <c r="L24" s="14"/>
      <c r="M24" s="14"/>
      <c r="N24" s="14"/>
      <c r="O24" s="14"/>
      <c r="P24" s="14"/>
    </row>
    <row r="25" spans="1:16" x14ac:dyDescent="0.4">
      <c r="A25" s="15">
        <v>2.4</v>
      </c>
      <c r="B25" s="10" t="s">
        <v>73</v>
      </c>
      <c r="C25" s="11" t="s">
        <v>74</v>
      </c>
      <c r="D25" s="10" t="s">
        <v>67</v>
      </c>
      <c r="E25" s="12" t="s">
        <v>20</v>
      </c>
      <c r="F25" s="11" t="s">
        <v>21</v>
      </c>
      <c r="G25" s="13" t="s">
        <v>184</v>
      </c>
      <c r="H25" s="12" t="s">
        <v>55</v>
      </c>
      <c r="I25" s="11"/>
      <c r="J25" s="11"/>
      <c r="K25" s="13" t="s">
        <v>185</v>
      </c>
      <c r="L25" s="14"/>
      <c r="M25" s="14"/>
      <c r="N25" s="14"/>
      <c r="O25" s="14"/>
      <c r="P25" s="14"/>
    </row>
    <row r="26" spans="1:16" x14ac:dyDescent="0.4">
      <c r="A26" s="15">
        <v>2.4</v>
      </c>
      <c r="B26" s="10" t="s">
        <v>75</v>
      </c>
      <c r="C26" s="11" t="s">
        <v>76</v>
      </c>
      <c r="D26" s="10" t="s">
        <v>67</v>
      </c>
      <c r="E26" s="12" t="s">
        <v>20</v>
      </c>
      <c r="F26" s="11" t="s">
        <v>21</v>
      </c>
      <c r="G26" s="13" t="s">
        <v>184</v>
      </c>
      <c r="H26" s="12" t="s">
        <v>55</v>
      </c>
      <c r="I26" s="11"/>
      <c r="J26" s="11"/>
      <c r="K26" s="13" t="s">
        <v>185</v>
      </c>
      <c r="L26" s="14"/>
      <c r="M26" s="14"/>
      <c r="N26" s="14"/>
      <c r="O26" s="14"/>
      <c r="P26" s="14"/>
    </row>
    <row r="27" spans="1:16" x14ac:dyDescent="0.4">
      <c r="A27" s="15">
        <v>2.4</v>
      </c>
      <c r="B27" s="7" t="s">
        <v>183</v>
      </c>
      <c r="C27" s="7" t="s">
        <v>78</v>
      </c>
      <c r="D27" s="7" t="s">
        <v>16</v>
      </c>
      <c r="E27" s="7" t="str">
        <f>"="&amp;B20&amp;"-"&amp;B21</f>
        <v>=A9-A10</v>
      </c>
      <c r="F27" s="7"/>
      <c r="G27" s="7"/>
      <c r="H27" s="7"/>
      <c r="I27" s="7"/>
      <c r="J27" s="7"/>
      <c r="K27" s="9"/>
      <c r="L27" s="9"/>
      <c r="M27" s="9"/>
      <c r="N27" s="9"/>
      <c r="O27" s="9"/>
      <c r="P27" s="9"/>
    </row>
    <row r="28" spans="1:16" x14ac:dyDescent="0.4">
      <c r="A28" s="20">
        <v>2.5</v>
      </c>
      <c r="B28" s="7" t="s">
        <v>77</v>
      </c>
      <c r="C28" s="7" t="s">
        <v>79</v>
      </c>
      <c r="D28" s="7" t="s">
        <v>16</v>
      </c>
      <c r="E28" s="7" t="str">
        <f>"="&amp;B29&amp;"+"&amp;B34&amp;"+"&amp;B46&amp;"+"&amp;B47</f>
        <v>=A14+A18+A26+A27</v>
      </c>
      <c r="F28" s="7"/>
      <c r="G28" s="7"/>
      <c r="H28" s="7"/>
      <c r="I28" s="7"/>
      <c r="J28" s="7"/>
      <c r="K28" s="9"/>
      <c r="L28" s="9"/>
      <c r="M28" s="9"/>
      <c r="N28" s="9"/>
      <c r="O28" s="9"/>
      <c r="P28" s="9"/>
    </row>
    <row r="29" spans="1:16" x14ac:dyDescent="0.4">
      <c r="A29" s="21" t="s">
        <v>80</v>
      </c>
      <c r="B29" s="7" t="s">
        <v>81</v>
      </c>
      <c r="C29" s="7" t="s">
        <v>82</v>
      </c>
      <c r="D29" s="8" t="s">
        <v>16</v>
      </c>
      <c r="E29" s="7" t="str">
        <f>"="&amp;B30&amp;"+"&amp;B31&amp;"+"&amp;B32&amp;"+"&amp;B33</f>
        <v>=A15+A16.1+A16.2+A17</v>
      </c>
      <c r="F29" s="7"/>
      <c r="G29" s="7"/>
      <c r="H29" s="7"/>
      <c r="I29" s="7"/>
      <c r="J29" s="7"/>
      <c r="K29" s="9"/>
      <c r="L29" s="9"/>
      <c r="M29" s="9"/>
      <c r="N29" s="9"/>
      <c r="O29" s="9"/>
      <c r="P29" s="9"/>
    </row>
    <row r="30" spans="1:16" ht="41.65" x14ac:dyDescent="0.4">
      <c r="A30" s="21" t="s">
        <v>80</v>
      </c>
      <c r="B30" s="10" t="s">
        <v>83</v>
      </c>
      <c r="C30" s="22" t="s">
        <v>84</v>
      </c>
      <c r="D30" s="23" t="s">
        <v>19</v>
      </c>
      <c r="E30" s="24" t="s">
        <v>85</v>
      </c>
      <c r="F30" s="25" t="s">
        <v>86</v>
      </c>
      <c r="G30" s="13" t="s">
        <v>41</v>
      </c>
      <c r="H30" s="10" t="s">
        <v>87</v>
      </c>
      <c r="I30" s="22"/>
      <c r="J30" s="22"/>
      <c r="K30" s="13" t="s">
        <v>186</v>
      </c>
      <c r="L30" s="14"/>
      <c r="M30" s="14"/>
      <c r="N30" s="14"/>
      <c r="O30" s="14"/>
      <c r="P30" s="14"/>
    </row>
    <row r="31" spans="1:16" x14ac:dyDescent="0.4">
      <c r="A31" s="21" t="s">
        <v>80</v>
      </c>
      <c r="B31" s="10" t="s">
        <v>88</v>
      </c>
      <c r="C31" s="22" t="s">
        <v>89</v>
      </c>
      <c r="D31" s="23" t="s">
        <v>19</v>
      </c>
      <c r="E31" s="10" t="s">
        <v>39</v>
      </c>
      <c r="F31" s="22" t="s">
        <v>90</v>
      </c>
      <c r="G31" s="13" t="s">
        <v>41</v>
      </c>
      <c r="H31" s="12" t="s">
        <v>87</v>
      </c>
      <c r="I31" s="22"/>
      <c r="J31" s="22"/>
      <c r="K31" s="13" t="s">
        <v>186</v>
      </c>
      <c r="L31" s="14"/>
      <c r="M31" s="14"/>
      <c r="N31" s="14"/>
      <c r="O31" s="14"/>
      <c r="P31" s="14"/>
    </row>
    <row r="32" spans="1:16" x14ac:dyDescent="0.4">
      <c r="A32" s="21" t="s">
        <v>80</v>
      </c>
      <c r="B32" s="10" t="s">
        <v>91</v>
      </c>
      <c r="C32" s="22" t="s">
        <v>92</v>
      </c>
      <c r="D32" s="23" t="s">
        <v>19</v>
      </c>
      <c r="E32" s="12" t="s">
        <v>20</v>
      </c>
      <c r="F32" s="11" t="s">
        <v>21</v>
      </c>
      <c r="G32" s="13" t="s">
        <v>184</v>
      </c>
      <c r="H32" s="12" t="s">
        <v>55</v>
      </c>
      <c r="I32" s="22"/>
      <c r="J32" s="22"/>
      <c r="K32" s="13" t="s">
        <v>185</v>
      </c>
      <c r="L32" s="14"/>
      <c r="M32" s="14"/>
      <c r="N32" s="14"/>
      <c r="O32" s="14"/>
      <c r="P32" s="14"/>
    </row>
    <row r="33" spans="1:16" x14ac:dyDescent="0.4">
      <c r="A33" s="21" t="s">
        <v>80</v>
      </c>
      <c r="B33" s="10" t="s">
        <v>93</v>
      </c>
      <c r="C33" s="22" t="s">
        <v>94</v>
      </c>
      <c r="D33" s="23" t="s">
        <v>19</v>
      </c>
      <c r="E33" s="10" t="s">
        <v>39</v>
      </c>
      <c r="F33" s="22" t="s">
        <v>90</v>
      </c>
      <c r="G33" s="13" t="s">
        <v>41</v>
      </c>
      <c r="H33" s="12" t="s">
        <v>87</v>
      </c>
      <c r="I33" s="22"/>
      <c r="J33" s="22"/>
      <c r="K33" s="13" t="s">
        <v>186</v>
      </c>
      <c r="L33" s="14"/>
      <c r="M33" s="14"/>
      <c r="N33" s="14"/>
      <c r="O33" s="14"/>
      <c r="P33" s="14"/>
    </row>
    <row r="34" spans="1:16" x14ac:dyDescent="0.4">
      <c r="A34" s="15" t="s">
        <v>95</v>
      </c>
      <c r="B34" s="7" t="s">
        <v>96</v>
      </c>
      <c r="C34" s="7" t="s">
        <v>97</v>
      </c>
      <c r="D34" s="8" t="s">
        <v>16</v>
      </c>
      <c r="E34" s="7" t="str">
        <f>"="&amp;B35&amp;"+"&amp;B36&amp;"+"&amp;B37&amp;"+"&amp;B38&amp;"+"&amp;B39&amp;"+"&amp;B40&amp;"+"&amp;B41&amp;"+"&amp;B42&amp;"+"&amp;B43&amp;"+"&amp;B44&amp;"+"&amp;B45</f>
        <v>=A19+A20+A21.1+A21.2+A21.3+A21.4+A21.5+A22+A23+A24+A25</v>
      </c>
      <c r="F34" s="7"/>
      <c r="G34" s="7"/>
      <c r="H34" s="7"/>
      <c r="I34" s="7"/>
      <c r="J34" s="7"/>
      <c r="K34" s="9"/>
      <c r="L34" s="9"/>
      <c r="M34" s="9"/>
      <c r="N34" s="9"/>
      <c r="O34" s="9"/>
      <c r="P34" s="9"/>
    </row>
    <row r="35" spans="1:16" x14ac:dyDescent="0.4">
      <c r="A35" s="15" t="s">
        <v>95</v>
      </c>
      <c r="B35" s="10" t="s">
        <v>98</v>
      </c>
      <c r="C35" s="12" t="s">
        <v>99</v>
      </c>
      <c r="D35" s="10" t="s">
        <v>100</v>
      </c>
      <c r="E35" s="1" t="s">
        <v>101</v>
      </c>
      <c r="F35" s="12" t="s">
        <v>102</v>
      </c>
      <c r="G35" s="13" t="s">
        <v>41</v>
      </c>
      <c r="H35" s="12" t="s">
        <v>55</v>
      </c>
      <c r="I35" s="12"/>
      <c r="J35" s="12"/>
      <c r="K35" s="13" t="s">
        <v>187</v>
      </c>
      <c r="L35" s="14"/>
      <c r="M35" s="14"/>
      <c r="N35" s="14"/>
      <c r="O35" s="14"/>
      <c r="P35" s="14"/>
    </row>
    <row r="36" spans="1:16" x14ac:dyDescent="0.4">
      <c r="A36" s="15" t="s">
        <v>95</v>
      </c>
      <c r="B36" s="10" t="s">
        <v>103</v>
      </c>
      <c r="C36" s="12" t="s">
        <v>104</v>
      </c>
      <c r="D36" s="10" t="s">
        <v>100</v>
      </c>
      <c r="E36" s="1" t="s">
        <v>101</v>
      </c>
      <c r="F36" s="12" t="s">
        <v>102</v>
      </c>
      <c r="G36" s="13" t="s">
        <v>41</v>
      </c>
      <c r="H36" s="12" t="s">
        <v>55</v>
      </c>
      <c r="I36" s="12"/>
      <c r="J36" s="12"/>
      <c r="K36" s="13" t="s">
        <v>187</v>
      </c>
      <c r="L36" s="14"/>
      <c r="M36" s="14"/>
      <c r="N36" s="14"/>
      <c r="O36" s="14"/>
      <c r="P36" s="14"/>
    </row>
    <row r="37" spans="1:16" x14ac:dyDescent="0.4">
      <c r="A37" s="15" t="s">
        <v>95</v>
      </c>
      <c r="B37" s="10" t="s">
        <v>105</v>
      </c>
      <c r="C37" s="12" t="s">
        <v>106</v>
      </c>
      <c r="D37" s="10" t="s">
        <v>100</v>
      </c>
      <c r="E37" s="1" t="s">
        <v>101</v>
      </c>
      <c r="F37" s="12" t="s">
        <v>102</v>
      </c>
      <c r="G37" s="13" t="s">
        <v>41</v>
      </c>
      <c r="H37" s="12" t="s">
        <v>55</v>
      </c>
      <c r="I37" s="12"/>
      <c r="J37" s="12"/>
      <c r="K37" s="13" t="s">
        <v>187</v>
      </c>
      <c r="L37" s="14"/>
      <c r="M37" s="14"/>
      <c r="N37" s="14"/>
      <c r="O37" s="14"/>
      <c r="P37" s="14"/>
    </row>
    <row r="38" spans="1:16" x14ac:dyDescent="0.4">
      <c r="A38" s="15" t="s">
        <v>95</v>
      </c>
      <c r="B38" s="10" t="s">
        <v>107</v>
      </c>
      <c r="C38" s="12" t="s">
        <v>108</v>
      </c>
      <c r="D38" s="10" t="s">
        <v>100</v>
      </c>
      <c r="E38" s="1" t="s">
        <v>101</v>
      </c>
      <c r="F38" s="12" t="s">
        <v>102</v>
      </c>
      <c r="G38" s="13" t="s">
        <v>41</v>
      </c>
      <c r="H38" s="12" t="s">
        <v>55</v>
      </c>
      <c r="I38" s="12"/>
      <c r="J38" s="12"/>
      <c r="K38" s="13" t="s">
        <v>187</v>
      </c>
      <c r="L38" s="14"/>
      <c r="M38" s="14"/>
      <c r="N38" s="14"/>
      <c r="O38" s="14"/>
      <c r="P38" s="14"/>
    </row>
    <row r="39" spans="1:16" x14ac:dyDescent="0.4">
      <c r="A39" s="15" t="s">
        <v>95</v>
      </c>
      <c r="B39" s="10" t="s">
        <v>109</v>
      </c>
      <c r="C39" s="12" t="s">
        <v>110</v>
      </c>
      <c r="D39" s="10" t="s">
        <v>100</v>
      </c>
      <c r="E39" s="1" t="s">
        <v>101</v>
      </c>
      <c r="F39" s="12" t="s">
        <v>102</v>
      </c>
      <c r="G39" s="13" t="s">
        <v>41</v>
      </c>
      <c r="H39" s="12" t="s">
        <v>55</v>
      </c>
      <c r="I39" s="12"/>
      <c r="J39" s="12"/>
      <c r="K39" s="13" t="s">
        <v>187</v>
      </c>
      <c r="L39" s="14"/>
      <c r="M39" s="14"/>
      <c r="N39" s="14"/>
      <c r="O39" s="14"/>
      <c r="P39" s="14"/>
    </row>
    <row r="40" spans="1:16" x14ac:dyDescent="0.4">
      <c r="A40" s="15" t="s">
        <v>95</v>
      </c>
      <c r="B40" s="10" t="s">
        <v>111</v>
      </c>
      <c r="C40" s="12" t="s">
        <v>112</v>
      </c>
      <c r="D40" s="10" t="s">
        <v>100</v>
      </c>
      <c r="E40" s="1" t="s">
        <v>101</v>
      </c>
      <c r="F40" s="12" t="s">
        <v>102</v>
      </c>
      <c r="G40" s="13" t="s">
        <v>41</v>
      </c>
      <c r="H40" s="12" t="s">
        <v>55</v>
      </c>
      <c r="I40" s="12"/>
      <c r="J40" s="12"/>
      <c r="K40" s="13" t="s">
        <v>187</v>
      </c>
      <c r="L40" s="14"/>
      <c r="M40" s="14"/>
      <c r="N40" s="14"/>
      <c r="O40" s="14"/>
      <c r="P40" s="14"/>
    </row>
    <row r="41" spans="1:16" x14ac:dyDescent="0.4">
      <c r="A41" s="15" t="s">
        <v>95</v>
      </c>
      <c r="B41" s="10" t="s">
        <v>113</v>
      </c>
      <c r="C41" s="12" t="s">
        <v>114</v>
      </c>
      <c r="D41" s="10" t="s">
        <v>100</v>
      </c>
      <c r="E41" s="1" t="s">
        <v>101</v>
      </c>
      <c r="F41" s="12" t="s">
        <v>102</v>
      </c>
      <c r="G41" s="13" t="s">
        <v>41</v>
      </c>
      <c r="H41" s="12" t="s">
        <v>55</v>
      </c>
      <c r="I41" s="12"/>
      <c r="J41" s="12"/>
      <c r="K41" s="13" t="s">
        <v>187</v>
      </c>
      <c r="L41" s="14"/>
      <c r="M41" s="14"/>
      <c r="N41" s="14"/>
      <c r="O41" s="14"/>
      <c r="P41" s="14"/>
    </row>
    <row r="42" spans="1:16" x14ac:dyDescent="0.4">
      <c r="A42" s="15" t="s">
        <v>95</v>
      </c>
      <c r="B42" s="10" t="s">
        <v>115</v>
      </c>
      <c r="C42" s="12" t="s">
        <v>116</v>
      </c>
      <c r="D42" s="10" t="s">
        <v>100</v>
      </c>
      <c r="E42" s="1" t="s">
        <v>101</v>
      </c>
      <c r="F42" s="12" t="s">
        <v>102</v>
      </c>
      <c r="G42" s="13" t="s">
        <v>41</v>
      </c>
      <c r="H42" s="12" t="s">
        <v>55</v>
      </c>
      <c r="I42" s="12"/>
      <c r="J42" s="12"/>
      <c r="K42" s="13" t="s">
        <v>187</v>
      </c>
      <c r="L42" s="14"/>
      <c r="M42" s="14"/>
      <c r="N42" s="14"/>
      <c r="O42" s="14"/>
      <c r="P42" s="14"/>
    </row>
    <row r="43" spans="1:16" x14ac:dyDescent="0.4">
      <c r="A43" s="15" t="s">
        <v>95</v>
      </c>
      <c r="B43" s="10" t="s">
        <v>117</v>
      </c>
      <c r="C43" s="12" t="s">
        <v>118</v>
      </c>
      <c r="D43" s="10" t="s">
        <v>100</v>
      </c>
      <c r="E43" s="1" t="s">
        <v>101</v>
      </c>
      <c r="F43" s="12" t="s">
        <v>102</v>
      </c>
      <c r="G43" s="13" t="s">
        <v>41</v>
      </c>
      <c r="H43" s="12" t="s">
        <v>55</v>
      </c>
      <c r="I43" s="12"/>
      <c r="J43" s="12"/>
      <c r="K43" s="13" t="s">
        <v>187</v>
      </c>
      <c r="L43" s="14"/>
      <c r="M43" s="14"/>
      <c r="N43" s="14"/>
      <c r="O43" s="14"/>
      <c r="P43" s="14"/>
    </row>
    <row r="44" spans="1:16" x14ac:dyDescent="0.4">
      <c r="A44" s="15" t="s">
        <v>95</v>
      </c>
      <c r="B44" s="10" t="s">
        <v>119</v>
      </c>
      <c r="C44" s="12" t="s">
        <v>120</v>
      </c>
      <c r="D44" s="10" t="s">
        <v>100</v>
      </c>
      <c r="E44" s="1" t="s">
        <v>101</v>
      </c>
      <c r="F44" s="12" t="s">
        <v>102</v>
      </c>
      <c r="G44" s="13" t="s">
        <v>41</v>
      </c>
      <c r="H44" s="12" t="s">
        <v>55</v>
      </c>
      <c r="I44" s="12"/>
      <c r="J44" s="12"/>
      <c r="K44" s="13" t="s">
        <v>187</v>
      </c>
      <c r="L44" s="14"/>
      <c r="M44" s="14"/>
      <c r="N44" s="14"/>
      <c r="O44" s="14"/>
      <c r="P44" s="14"/>
    </row>
    <row r="45" spans="1:16" x14ac:dyDescent="0.4">
      <c r="A45" s="15" t="s">
        <v>95</v>
      </c>
      <c r="B45" s="10" t="s">
        <v>121</v>
      </c>
      <c r="C45" s="12" t="s">
        <v>122</v>
      </c>
      <c r="D45" s="10" t="s">
        <v>100</v>
      </c>
      <c r="E45" s="1" t="s">
        <v>101</v>
      </c>
      <c r="F45" s="12" t="s">
        <v>102</v>
      </c>
      <c r="G45" s="13" t="s">
        <v>41</v>
      </c>
      <c r="H45" s="12" t="s">
        <v>55</v>
      </c>
      <c r="I45" s="12"/>
      <c r="J45" s="12"/>
      <c r="K45" s="13" t="s">
        <v>187</v>
      </c>
      <c r="L45" s="14"/>
      <c r="M45" s="14"/>
      <c r="N45" s="14"/>
      <c r="O45" s="14"/>
      <c r="P45" s="14"/>
    </row>
    <row r="46" spans="1:16" ht="69.400000000000006" x14ac:dyDescent="0.4">
      <c r="A46" s="21" t="s">
        <v>123</v>
      </c>
      <c r="B46" s="10" t="s">
        <v>124</v>
      </c>
      <c r="C46" s="12" t="s">
        <v>125</v>
      </c>
      <c r="D46" s="12" t="s">
        <v>126</v>
      </c>
      <c r="E46" s="24" t="s">
        <v>85</v>
      </c>
      <c r="F46" s="25" t="s">
        <v>127</v>
      </c>
      <c r="G46" s="13" t="s">
        <v>41</v>
      </c>
      <c r="H46" s="10" t="s">
        <v>55</v>
      </c>
      <c r="I46" s="12"/>
      <c r="J46" s="12"/>
      <c r="K46" s="13" t="s">
        <v>186</v>
      </c>
      <c r="L46" s="14"/>
      <c r="M46" s="14"/>
      <c r="N46" s="14"/>
      <c r="O46" s="14"/>
      <c r="P46" s="14"/>
    </row>
    <row r="47" spans="1:16" x14ac:dyDescent="0.4">
      <c r="A47" s="15" t="s">
        <v>128</v>
      </c>
      <c r="B47" s="7" t="s">
        <v>129</v>
      </c>
      <c r="C47" s="7" t="s">
        <v>130</v>
      </c>
      <c r="D47" s="8" t="s">
        <v>16</v>
      </c>
      <c r="E47" s="7" t="str">
        <f>"="&amp;B48&amp;"+"&amp;B49&amp;"+"&amp;B50&amp;"+"&amp;B51&amp;"+"&amp;B52&amp;"+"&amp;B53&amp;"+"&amp;B54</f>
        <v>=A28+A29+A30+A31+A32+A33+A34</v>
      </c>
      <c r="F47" s="7"/>
      <c r="G47" s="7"/>
      <c r="H47" s="7"/>
      <c r="I47" s="7"/>
      <c r="J47" s="7"/>
      <c r="K47" s="9"/>
      <c r="L47" s="9"/>
      <c r="M47" s="9"/>
      <c r="N47" s="9"/>
      <c r="O47" s="9"/>
      <c r="P47" s="9"/>
    </row>
    <row r="48" spans="1:16" ht="69.400000000000006" x14ac:dyDescent="0.4">
      <c r="A48" s="15" t="s">
        <v>128</v>
      </c>
      <c r="B48" s="10" t="s">
        <v>131</v>
      </c>
      <c r="C48" s="12" t="s">
        <v>132</v>
      </c>
      <c r="D48" s="23" t="s">
        <v>126</v>
      </c>
      <c r="E48" s="24" t="s">
        <v>85</v>
      </c>
      <c r="F48" s="25" t="s">
        <v>127</v>
      </c>
      <c r="G48" s="13" t="s">
        <v>41</v>
      </c>
      <c r="H48" s="10" t="s">
        <v>55</v>
      </c>
      <c r="I48" s="12"/>
      <c r="J48" s="12"/>
      <c r="K48" s="13" t="s">
        <v>186</v>
      </c>
      <c r="L48" s="14"/>
      <c r="M48" s="14"/>
      <c r="N48" s="14"/>
      <c r="O48" s="14"/>
      <c r="P48" s="14"/>
    </row>
    <row r="49" spans="1:16" ht="69.400000000000006" x14ac:dyDescent="0.4">
      <c r="A49" s="15" t="s">
        <v>128</v>
      </c>
      <c r="B49" s="10" t="s">
        <v>133</v>
      </c>
      <c r="C49" s="12" t="s">
        <v>134</v>
      </c>
      <c r="D49" s="23" t="s">
        <v>19</v>
      </c>
      <c r="E49" s="24" t="s">
        <v>85</v>
      </c>
      <c r="F49" s="25" t="s">
        <v>127</v>
      </c>
      <c r="G49" s="13" t="s">
        <v>41</v>
      </c>
      <c r="H49" s="10" t="s">
        <v>87</v>
      </c>
      <c r="I49" s="12"/>
      <c r="J49" s="12"/>
      <c r="K49" s="13" t="s">
        <v>186</v>
      </c>
      <c r="L49" s="14"/>
      <c r="M49" s="14"/>
      <c r="N49" s="14"/>
      <c r="O49" s="14"/>
      <c r="P49" s="14"/>
    </row>
    <row r="50" spans="1:16" x14ac:dyDescent="0.4">
      <c r="A50" s="15" t="s">
        <v>128</v>
      </c>
      <c r="B50" s="10" t="s">
        <v>135</v>
      </c>
      <c r="C50" s="12" t="s">
        <v>136</v>
      </c>
      <c r="D50" s="12" t="s">
        <v>137</v>
      </c>
      <c r="E50" s="1" t="s">
        <v>101</v>
      </c>
      <c r="F50" s="12" t="s">
        <v>102</v>
      </c>
      <c r="G50" s="13" t="s">
        <v>41</v>
      </c>
      <c r="H50" s="12" t="s">
        <v>42</v>
      </c>
      <c r="I50" s="12"/>
      <c r="J50" s="12"/>
      <c r="K50" s="13" t="s">
        <v>187</v>
      </c>
      <c r="L50" s="14"/>
      <c r="M50" s="14"/>
      <c r="N50" s="14"/>
      <c r="O50" s="14"/>
      <c r="P50" s="14"/>
    </row>
    <row r="51" spans="1:16" ht="69.400000000000006" x14ac:dyDescent="0.4">
      <c r="A51" s="15" t="s">
        <v>128</v>
      </c>
      <c r="B51" s="10" t="s">
        <v>138</v>
      </c>
      <c r="C51" s="12" t="s">
        <v>139</v>
      </c>
      <c r="D51" s="23" t="s">
        <v>19</v>
      </c>
      <c r="E51" s="24" t="s">
        <v>85</v>
      </c>
      <c r="F51" s="25" t="s">
        <v>127</v>
      </c>
      <c r="G51" s="13" t="s">
        <v>41</v>
      </c>
      <c r="H51" s="10" t="s">
        <v>87</v>
      </c>
      <c r="I51" s="12"/>
      <c r="J51" s="12"/>
      <c r="K51" s="13" t="s">
        <v>186</v>
      </c>
      <c r="L51" s="14"/>
      <c r="M51" s="14"/>
      <c r="N51" s="14"/>
      <c r="O51" s="14"/>
      <c r="P51" s="14"/>
    </row>
    <row r="52" spans="1:16" x14ac:dyDescent="0.4">
      <c r="A52" s="15" t="s">
        <v>128</v>
      </c>
      <c r="B52" s="10" t="s">
        <v>140</v>
      </c>
      <c r="C52" s="12" t="s">
        <v>141</v>
      </c>
      <c r="D52" s="23" t="s">
        <v>19</v>
      </c>
      <c r="E52" s="1" t="s">
        <v>101</v>
      </c>
      <c r="F52" s="12" t="s">
        <v>102</v>
      </c>
      <c r="G52" s="13" t="s">
        <v>41</v>
      </c>
      <c r="H52" s="12" t="s">
        <v>55</v>
      </c>
      <c r="I52" s="12"/>
      <c r="J52" s="12"/>
      <c r="K52" s="13" t="s">
        <v>187</v>
      </c>
      <c r="L52" s="14"/>
      <c r="M52" s="14"/>
      <c r="N52" s="14"/>
      <c r="O52" s="14"/>
      <c r="P52" s="14"/>
    </row>
    <row r="53" spans="1:16" x14ac:dyDescent="0.4">
      <c r="A53" s="15" t="s">
        <v>128</v>
      </c>
      <c r="B53" s="10" t="s">
        <v>142</v>
      </c>
      <c r="C53" s="12" t="s">
        <v>143</v>
      </c>
      <c r="D53" s="12" t="s">
        <v>144</v>
      </c>
      <c r="E53" s="1" t="s">
        <v>101</v>
      </c>
      <c r="F53" s="12" t="s">
        <v>102</v>
      </c>
      <c r="G53" s="13" t="s">
        <v>41</v>
      </c>
      <c r="H53" s="12" t="s">
        <v>55</v>
      </c>
      <c r="I53" s="12"/>
      <c r="J53" s="12"/>
      <c r="K53" s="13" t="s">
        <v>187</v>
      </c>
      <c r="L53" s="14"/>
      <c r="M53" s="14"/>
      <c r="N53" s="14"/>
      <c r="O53" s="14"/>
      <c r="P53" s="14"/>
    </row>
    <row r="54" spans="1:16" x14ac:dyDescent="0.4">
      <c r="A54" s="15" t="s">
        <v>128</v>
      </c>
      <c r="B54" s="7" t="s">
        <v>145</v>
      </c>
      <c r="C54" s="7" t="s">
        <v>146</v>
      </c>
      <c r="D54" s="8" t="s">
        <v>16</v>
      </c>
      <c r="E54" s="7" t="str">
        <f>"="&amp;B55&amp;"+"&amp;B56&amp;"+"&amp;B57&amp;"+"&amp;B58&amp;"+"&amp;B59&amp;"+"&amp;B60&amp;"+"&amp;B61&amp;"+"&amp;B62&amp;"+"&amp;B63</f>
        <v>=A34.1+A34.2+A34.8+A34.9+A34.10+A34.12+A34.13+A34.14+A34.15</v>
      </c>
      <c r="F54" s="7"/>
      <c r="G54" s="7"/>
      <c r="H54" s="7"/>
      <c r="I54" s="7"/>
      <c r="J54" s="7"/>
      <c r="K54" s="9"/>
      <c r="L54" s="9"/>
      <c r="M54" s="9"/>
      <c r="N54" s="9"/>
      <c r="O54" s="9"/>
      <c r="P54" s="9"/>
    </row>
    <row r="55" spans="1:16" x14ac:dyDescent="0.4">
      <c r="A55" s="15" t="s">
        <v>128</v>
      </c>
      <c r="B55" s="10" t="s">
        <v>147</v>
      </c>
      <c r="C55" s="12" t="s">
        <v>148</v>
      </c>
      <c r="D55" s="23" t="s">
        <v>19</v>
      </c>
      <c r="E55" s="1" t="s">
        <v>101</v>
      </c>
      <c r="F55" s="12" t="s">
        <v>102</v>
      </c>
      <c r="G55" s="13" t="s">
        <v>41</v>
      </c>
      <c r="H55" s="12" t="s">
        <v>42</v>
      </c>
      <c r="I55" s="12"/>
      <c r="J55" s="12"/>
      <c r="K55" s="13" t="s">
        <v>187</v>
      </c>
      <c r="L55" s="14"/>
      <c r="M55" s="14"/>
      <c r="N55" s="14"/>
      <c r="O55" s="14"/>
      <c r="P55" s="14"/>
    </row>
    <row r="56" spans="1:16" x14ac:dyDescent="0.4">
      <c r="A56" s="15" t="s">
        <v>128</v>
      </c>
      <c r="B56" s="10" t="s">
        <v>149</v>
      </c>
      <c r="C56" s="12" t="s">
        <v>150</v>
      </c>
      <c r="D56" s="12" t="s">
        <v>137</v>
      </c>
      <c r="E56" s="1" t="s">
        <v>101</v>
      </c>
      <c r="F56" s="12" t="s">
        <v>102</v>
      </c>
      <c r="G56" s="13" t="s">
        <v>41</v>
      </c>
      <c r="H56" s="12" t="s">
        <v>55</v>
      </c>
      <c r="I56" s="12"/>
      <c r="J56" s="12"/>
      <c r="K56" s="13" t="s">
        <v>187</v>
      </c>
      <c r="L56" s="14"/>
      <c r="M56" s="14"/>
      <c r="N56" s="14"/>
      <c r="O56" s="14"/>
      <c r="P56" s="14"/>
    </row>
    <row r="57" spans="1:16" x14ac:dyDescent="0.4">
      <c r="A57" s="15" t="s">
        <v>128</v>
      </c>
      <c r="B57" s="10" t="s">
        <v>151</v>
      </c>
      <c r="C57" s="12" t="s">
        <v>152</v>
      </c>
      <c r="D57" s="12" t="s">
        <v>137</v>
      </c>
      <c r="E57" s="1" t="s">
        <v>101</v>
      </c>
      <c r="F57" s="12" t="s">
        <v>102</v>
      </c>
      <c r="G57" s="13" t="s">
        <v>41</v>
      </c>
      <c r="H57" s="12" t="s">
        <v>55</v>
      </c>
      <c r="I57" s="12"/>
      <c r="J57" s="12"/>
      <c r="K57" s="13" t="s">
        <v>187</v>
      </c>
      <c r="L57" s="14"/>
      <c r="M57" s="14"/>
      <c r="N57" s="14"/>
      <c r="O57" s="14"/>
      <c r="P57" s="14"/>
    </row>
    <row r="58" spans="1:16" x14ac:dyDescent="0.4">
      <c r="A58" s="15" t="s">
        <v>128</v>
      </c>
      <c r="B58" s="10" t="s">
        <v>153</v>
      </c>
      <c r="C58" s="12" t="s">
        <v>154</v>
      </c>
      <c r="D58" s="12" t="s">
        <v>137</v>
      </c>
      <c r="E58" s="1" t="s">
        <v>101</v>
      </c>
      <c r="F58" s="12" t="s">
        <v>102</v>
      </c>
      <c r="G58" s="13" t="s">
        <v>41</v>
      </c>
      <c r="H58" s="12" t="s">
        <v>55</v>
      </c>
      <c r="I58" s="12"/>
      <c r="J58" s="12"/>
      <c r="K58" s="13" t="s">
        <v>187</v>
      </c>
      <c r="L58" s="14"/>
      <c r="M58" s="14"/>
      <c r="N58" s="14"/>
      <c r="O58" s="14"/>
      <c r="P58" s="14"/>
    </row>
    <row r="59" spans="1:16" x14ac:dyDescent="0.4">
      <c r="A59" s="15" t="s">
        <v>128</v>
      </c>
      <c r="B59" s="10" t="s">
        <v>155</v>
      </c>
      <c r="C59" s="12" t="s">
        <v>156</v>
      </c>
      <c r="D59" s="12" t="s">
        <v>137</v>
      </c>
      <c r="E59" s="1" t="s">
        <v>101</v>
      </c>
      <c r="F59" s="12" t="s">
        <v>102</v>
      </c>
      <c r="G59" s="13" t="s">
        <v>41</v>
      </c>
      <c r="H59" s="12" t="s">
        <v>42</v>
      </c>
      <c r="I59" s="12"/>
      <c r="J59" s="12"/>
      <c r="K59" s="13" t="s">
        <v>187</v>
      </c>
      <c r="L59" s="14"/>
      <c r="M59" s="14"/>
      <c r="N59" s="14"/>
      <c r="O59" s="14"/>
      <c r="P59" s="14"/>
    </row>
    <row r="60" spans="1:16" x14ac:dyDescent="0.4">
      <c r="A60" s="15" t="s">
        <v>128</v>
      </c>
      <c r="B60" s="10" t="s">
        <v>157</v>
      </c>
      <c r="C60" s="12" t="s">
        <v>158</v>
      </c>
      <c r="D60" s="12" t="s">
        <v>137</v>
      </c>
      <c r="E60" s="1" t="s">
        <v>101</v>
      </c>
      <c r="F60" s="12" t="s">
        <v>102</v>
      </c>
      <c r="G60" s="13" t="s">
        <v>41</v>
      </c>
      <c r="H60" s="12" t="s">
        <v>42</v>
      </c>
      <c r="I60" s="12"/>
      <c r="J60" s="12"/>
      <c r="K60" s="13" t="s">
        <v>187</v>
      </c>
      <c r="L60" s="14"/>
      <c r="M60" s="14"/>
      <c r="N60" s="14"/>
      <c r="O60" s="14"/>
      <c r="P60" s="14"/>
    </row>
    <row r="61" spans="1:16" x14ac:dyDescent="0.4">
      <c r="A61" s="15" t="s">
        <v>128</v>
      </c>
      <c r="B61" s="10" t="s">
        <v>159</v>
      </c>
      <c r="C61" s="12" t="s">
        <v>160</v>
      </c>
      <c r="D61" s="12" t="s">
        <v>137</v>
      </c>
      <c r="E61" s="1" t="s">
        <v>101</v>
      </c>
      <c r="F61" s="12" t="s">
        <v>102</v>
      </c>
      <c r="G61" s="13" t="s">
        <v>41</v>
      </c>
      <c r="H61" s="12" t="s">
        <v>42</v>
      </c>
      <c r="I61" s="12"/>
      <c r="J61" s="12"/>
      <c r="K61" s="13" t="s">
        <v>187</v>
      </c>
      <c r="L61" s="14"/>
      <c r="M61" s="14"/>
      <c r="N61" s="14"/>
      <c r="O61" s="14"/>
      <c r="P61" s="14"/>
    </row>
    <row r="62" spans="1:16" x14ac:dyDescent="0.4">
      <c r="A62" s="15" t="s">
        <v>128</v>
      </c>
      <c r="B62" s="10" t="s">
        <v>161</v>
      </c>
      <c r="C62" s="12" t="s">
        <v>162</v>
      </c>
      <c r="D62" s="12" t="s">
        <v>137</v>
      </c>
      <c r="E62" s="1" t="s">
        <v>101</v>
      </c>
      <c r="F62" s="12" t="s">
        <v>102</v>
      </c>
      <c r="G62" s="13" t="s">
        <v>41</v>
      </c>
      <c r="H62" s="12" t="s">
        <v>55</v>
      </c>
      <c r="I62" s="12"/>
      <c r="J62" s="12"/>
      <c r="K62" s="13" t="s">
        <v>187</v>
      </c>
      <c r="L62" s="14"/>
      <c r="M62" s="14"/>
      <c r="N62" s="14"/>
      <c r="O62" s="14"/>
      <c r="P62" s="14"/>
    </row>
    <row r="63" spans="1:16" x14ac:dyDescent="0.4">
      <c r="A63" s="15" t="s">
        <v>128</v>
      </c>
      <c r="B63" s="10" t="s">
        <v>163</v>
      </c>
      <c r="C63" s="12" t="s">
        <v>164</v>
      </c>
      <c r="D63" s="12" t="s">
        <v>137</v>
      </c>
      <c r="E63" s="1" t="s">
        <v>101</v>
      </c>
      <c r="F63" s="12" t="s">
        <v>102</v>
      </c>
      <c r="G63" s="13" t="s">
        <v>41</v>
      </c>
      <c r="H63" s="12" t="s">
        <v>55</v>
      </c>
      <c r="I63" s="12"/>
      <c r="J63" s="12"/>
      <c r="K63" s="13" t="s">
        <v>187</v>
      </c>
      <c r="L63" s="14"/>
      <c r="M63" s="14"/>
      <c r="N63" s="14"/>
      <c r="O63" s="14"/>
      <c r="P63" s="14"/>
    </row>
    <row r="64" spans="1:16" x14ac:dyDescent="0.4">
      <c r="A64" s="21">
        <v>2.6</v>
      </c>
      <c r="B64" s="10" t="s">
        <v>165</v>
      </c>
      <c r="C64" s="12" t="s">
        <v>166</v>
      </c>
      <c r="D64" s="10" t="s">
        <v>167</v>
      </c>
      <c r="E64" s="1" t="s">
        <v>101</v>
      </c>
      <c r="F64" s="12" t="s">
        <v>102</v>
      </c>
      <c r="G64" s="13" t="s">
        <v>41</v>
      </c>
      <c r="H64" s="12" t="s">
        <v>55</v>
      </c>
      <c r="I64" s="12"/>
      <c r="J64" s="12"/>
      <c r="K64" s="13" t="s">
        <v>187</v>
      </c>
      <c r="L64" s="14"/>
      <c r="M64" s="14"/>
      <c r="N64" s="14"/>
      <c r="O64" s="14"/>
      <c r="P64" s="14"/>
    </row>
    <row r="65" spans="1:16" x14ac:dyDescent="0.4">
      <c r="A65" s="21">
        <v>2.6</v>
      </c>
      <c r="B65" s="10" t="s">
        <v>168</v>
      </c>
      <c r="C65" s="12" t="s">
        <v>169</v>
      </c>
      <c r="D65" s="23" t="s">
        <v>170</v>
      </c>
      <c r="E65" s="1" t="s">
        <v>101</v>
      </c>
      <c r="F65" s="12" t="s">
        <v>102</v>
      </c>
      <c r="G65" s="13" t="s">
        <v>41</v>
      </c>
      <c r="H65" s="12" t="s">
        <v>42</v>
      </c>
      <c r="I65" s="12"/>
      <c r="J65" s="12"/>
      <c r="K65" s="13" t="s">
        <v>187</v>
      </c>
      <c r="L65" s="14"/>
      <c r="M65" s="14"/>
      <c r="N65" s="14"/>
      <c r="O65" s="14"/>
      <c r="P65" s="14"/>
    </row>
    <row r="66" spans="1:16" x14ac:dyDescent="0.4">
      <c r="A66" s="21">
        <v>2.6</v>
      </c>
      <c r="B66" s="10" t="s">
        <v>171</v>
      </c>
      <c r="C66" s="12" t="s">
        <v>172</v>
      </c>
      <c r="D66" s="23" t="s">
        <v>170</v>
      </c>
      <c r="E66" s="10" t="s">
        <v>39</v>
      </c>
      <c r="F66" s="12" t="s">
        <v>173</v>
      </c>
      <c r="G66" s="13" t="s">
        <v>41</v>
      </c>
      <c r="H66" s="12" t="s">
        <v>55</v>
      </c>
      <c r="I66" s="12"/>
      <c r="J66" s="12"/>
      <c r="K66" s="13" t="s">
        <v>186</v>
      </c>
      <c r="L66" s="14"/>
      <c r="M66" s="14"/>
      <c r="N66" s="14"/>
      <c r="O66" s="14"/>
      <c r="P66" s="14"/>
    </row>
    <row r="67" spans="1:16" x14ac:dyDescent="0.4">
      <c r="A67" s="21">
        <v>2.6</v>
      </c>
      <c r="B67" s="10" t="s">
        <v>174</v>
      </c>
      <c r="C67" s="12" t="s">
        <v>175</v>
      </c>
      <c r="D67" s="23" t="s">
        <v>170</v>
      </c>
      <c r="E67" s="1" t="s">
        <v>101</v>
      </c>
      <c r="F67" s="12" t="s">
        <v>102</v>
      </c>
      <c r="G67" s="13" t="s">
        <v>41</v>
      </c>
      <c r="H67" s="12" t="s">
        <v>42</v>
      </c>
      <c r="I67" s="12"/>
      <c r="J67" s="12"/>
      <c r="K67" s="13" t="s">
        <v>187</v>
      </c>
      <c r="L67" s="14"/>
      <c r="M67" s="14"/>
      <c r="N67" s="14"/>
      <c r="O67" s="14"/>
      <c r="P67" s="14"/>
    </row>
    <row r="68" spans="1:16" x14ac:dyDescent="0.4">
      <c r="A68" s="15">
        <v>2.7</v>
      </c>
      <c r="B68" s="7" t="s">
        <v>176</v>
      </c>
      <c r="C68" s="26" t="s">
        <v>177</v>
      </c>
      <c r="D68" s="8" t="s">
        <v>16</v>
      </c>
      <c r="E68" s="7" t="str">
        <f>"="&amp;B27&amp;"-"&amp;B28&amp;"-"&amp;B64&amp;"-"&amp;B65&amp;"-"&amp;B66&amp;"-"&amp;B67</f>
        <v>=A99-A13-A53-A35-A36-A45</v>
      </c>
      <c r="F68" s="26"/>
      <c r="G68" s="26"/>
      <c r="H68" s="26"/>
      <c r="I68" s="26"/>
      <c r="J68" s="26"/>
      <c r="K68" s="9"/>
      <c r="L68" s="9"/>
      <c r="M68" s="9"/>
      <c r="N68" s="9"/>
      <c r="O68" s="9"/>
      <c r="P68" s="9"/>
    </row>
    <row r="69" spans="1:16" x14ac:dyDescent="0.4">
      <c r="A69" s="15">
        <v>2.7</v>
      </c>
      <c r="B69" s="10" t="s">
        <v>178</v>
      </c>
      <c r="C69" s="12" t="s">
        <v>179</v>
      </c>
      <c r="D69" s="16" t="s">
        <v>38</v>
      </c>
      <c r="E69" s="12" t="s">
        <v>180</v>
      </c>
      <c r="F69" s="10" t="s">
        <v>40</v>
      </c>
      <c r="G69" s="13" t="s">
        <v>41</v>
      </c>
      <c r="H69" s="12" t="s">
        <v>55</v>
      </c>
      <c r="I69" s="12"/>
      <c r="J69" s="12"/>
      <c r="K69" s="13" t="s">
        <v>186</v>
      </c>
      <c r="L69" s="14"/>
      <c r="M69" s="14"/>
      <c r="N69" s="14"/>
      <c r="O69" s="14"/>
      <c r="P69" s="14"/>
    </row>
    <row r="70" spans="1:16" x14ac:dyDescent="0.4">
      <c r="A70" s="15">
        <v>2.7</v>
      </c>
      <c r="B70" s="7" t="s">
        <v>181</v>
      </c>
      <c r="C70" s="7" t="s">
        <v>182</v>
      </c>
      <c r="D70" s="8" t="s">
        <v>16</v>
      </c>
      <c r="E70" s="7" t="str">
        <f>"="&amp;B68&amp;"-"&amp;B69</f>
        <v>=A37-A92</v>
      </c>
      <c r="F70" s="7"/>
      <c r="G70" s="7"/>
      <c r="H70" s="7"/>
      <c r="I70" s="7"/>
      <c r="J70" s="7"/>
      <c r="K70" s="9"/>
      <c r="L70" s="9"/>
      <c r="M70" s="9"/>
      <c r="N70" s="9"/>
      <c r="O70" s="9"/>
      <c r="P70" s="9"/>
    </row>
    <row r="77" spans="1:16" ht="14.65" x14ac:dyDescent="0.4">
      <c r="C77" s="27"/>
      <c r="D77" s="27"/>
      <c r="E77" s="27"/>
      <c r="F77" s="27"/>
      <c r="G77" s="10"/>
      <c r="H77" s="27"/>
      <c r="I77" s="27"/>
      <c r="J77" s="27"/>
      <c r="K77" s="27"/>
      <c r="L77" s="27"/>
    </row>
    <row r="78" spans="1:16" x14ac:dyDescent="0.4">
      <c r="G78" s="13"/>
    </row>
    <row r="79" spans="1:16" x14ac:dyDescent="0.4">
      <c r="G79" s="13"/>
      <c r="L79" s="13"/>
    </row>
    <row r="80" spans="1:16" x14ac:dyDescent="0.4">
      <c r="E80" s="24"/>
      <c r="G80" s="13"/>
      <c r="L80" s="13"/>
    </row>
    <row r="81" spans="7:12" x14ac:dyDescent="0.4">
      <c r="G81" s="13"/>
      <c r="L81" s="1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2026-06-05T09:09:03Z</dcterms:created>
  <dcterms:modified xsi:type="dcterms:W3CDTF">2026-06-10T09:38:58Z</dcterms:modified>
</cp:coreProperties>
</file>